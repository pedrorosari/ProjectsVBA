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edmaria\Desktop\GITHUB\ProjectsVBA\Eventos\"/>
    </mc:Choice>
  </mc:AlternateContent>
  <xr:revisionPtr revIDLastSave="0" documentId="8_{E18368E4-04D3-4AC3-B6DC-A65ACCA02D5F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Base" sheetId="1" r:id="rId1"/>
    <sheet name="Tabela Dinâmica" sheetId="2" r:id="rId2"/>
    <sheet name="Impressão" sheetId="3" r:id="rId3"/>
  </sheets>
  <definedNames>
    <definedName name="_xlnm.Print_Area" localSheetId="2">Impressão!$A$1:$B$24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<sst xmlns="http://schemas.openxmlformats.org/spreadsheetml/2006/main" count="181" uniqueCount="38">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</sst>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Fill="1" applyBorder="1"/>
    <xf numFmtId="0" fontId="4" fillId="0" borderId="2" xfId="0" applyFont="1" applyFill="1" applyBorder="1"/>
    <xf numFmtId="2" fontId="4" fillId="0" borderId="2" xfId="0" applyNumberFormat="1" applyFont="1" applyFill="1" applyBorder="1"/>
    <xf numFmtId="0" fontId="4" fillId="0" borderId="3" xfId="0" applyFont="1" applyFill="1" applyBorder="1"/>
    <xf numFmtId="0" fontId="4" fillId="0" borderId="4" xfId="0" applyFont="1" applyFill="1" applyBorder="1"/>
    <xf numFmtId="0" fontId="4" fillId="0" borderId="5" xfId="0" applyFont="1" applyFill="1" applyBorder="1"/>
    <xf numFmtId="2" fontId="4" fillId="0" borderId="5" xfId="0" applyNumberFormat="1" applyFont="1" applyFill="1" applyBorder="1"/>
    <xf numFmtId="0" fontId="4" fillId="0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[Impressão.xlsm]Tabela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56.8</c:v>
                </c:pt>
                <c:pt idx="2">
                  <c:v>70.25</c:v>
                </c:pt>
                <c:pt idx="3">
                  <c:v>65.75</c:v>
                </c:pt>
                <c:pt idx="4">
                  <c:v>62.6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3-4141-8659-699B2B96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53675616"/>
        <c:axId val="-1353666912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1.7324999999999999</c:v>
                </c:pt>
                <c:pt idx="4">
                  <c:v>1.6779999999999999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D3-4141-8659-699B2B96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3668000"/>
        <c:axId val="-1353668544"/>
      </c:lineChart>
      <c:catAx>
        <c:axId val="-135367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6912"/>
        <c:crosses val="autoZero"/>
        <c:auto val="1"/>
        <c:lblAlgn val="ctr"/>
        <c:lblOffset val="100"/>
        <c:noMultiLvlLbl val="0"/>
      </c:catAx>
      <c:valAx>
        <c:axId val="-13536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75616"/>
        <c:crosses val="autoZero"/>
        <c:crossBetween val="between"/>
      </c:valAx>
      <c:valAx>
        <c:axId val="-13536685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8000"/>
        <c:crosses val="max"/>
        <c:crossBetween val="between"/>
      </c:valAx>
      <c:catAx>
        <c:axId val="-135366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5366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Paulo de Lira" refreshedDate="42463.735645601853" createdVersion="5" refreshedVersion="5" minRefreshableVersion="3" recordCount="80" xr:uid="{00000000-000A-0000-FFFF-FFFFB0000000}">
  <cacheSource type="worksheet">
    <worksheetSource ref="A1:F81" sheet="Base"/>
  </cacheSource>
  <cacheFields count="6">
    <cacheField name="Nome" numFmtId="0">
      <sharedItems/>
    </cacheField>
    <cacheField name="Idade" numFmtId="0">
      <sharedItems containsSemiMixedTypes="0" containsString="0" containsNumber="1" containsInteger="1" minValue="5" maxValue="72" count="18">
        <n v="20"/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</sharedItems>
    </cacheField>
    <cacheField name="Cidade" numFmtId="0">
      <sharedItems containsBlank="1" count="6">
        <s v="Rio de Janeiro"/>
        <s v="São Paulo"/>
        <s v="Brasília"/>
        <s v="Porto Alegre"/>
        <s v="Belo Horizonte"/>
        <m/>
      </sharedItems>
    </cacheField>
    <cacheField name="Peso" numFmtId="0">
      <sharedItems containsString="0" containsBlank="1" containsNumber="1" containsInteger="1" minValue="28" maxValue="110"/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m/>
    <n v="1.79"/>
    <n v="0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5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m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:C20" firstHeaderRow="0" firstDataRow="1" firstDataCol="1"/>
  <pivotFields count="6">
    <pivotField showAll="0"/>
    <pivotField axis="axisRow" showAll="0">
      <items count="19">
        <item x="16"/>
        <item x="15"/>
        <item x="17"/>
        <item x="2"/>
        <item x="3"/>
        <item x="9"/>
        <item x="10"/>
        <item x="0"/>
        <item x="8"/>
        <item x="13"/>
        <item x="1"/>
        <item x="12"/>
        <item x="4"/>
        <item x="14"/>
        <item x="7"/>
        <item x="11"/>
        <item x="5"/>
        <item x="6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/>
    <dataField name="Média de Altura" fld="4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5">
  <location ref="I1:K7" firstHeaderRow="0" firstDataRow="1" firstDataCol="1"/>
  <pivotFields count="6">
    <pivotField showAll="0"/>
    <pivotField showAll="0"/>
    <pivotField axis="axisRow" showAll="0">
      <items count="7">
        <item x="4"/>
        <item x="2"/>
        <item x="3"/>
        <item x="0"/>
        <item x="1"/>
        <item h="1" x="5"/>
        <item t="default"/>
      </items>
    </pivotField>
    <pivotField dataField="1"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81"/>
  <sheetViews>
    <sheetView tabSelected="1" workbookViewId="0">
      <selection activeCell="H4" sqref="H4"/>
    </sheetView>
  </sheetViews>
  <sheetFormatPr defaultRowHeight="14.5" x14ac:dyDescent="0.35"/>
  <cols>
    <col min="1" max="1" width="8.7265625" bestFit="1" customWidth="1"/>
    <col min="2" max="2" width="6" bestFit="1" customWidth="1"/>
    <col min="3" max="3" width="14.26953125" bestFit="1" customWidth="1"/>
    <col min="4" max="4" width="5.26953125" bestFit="1" customWidth="1"/>
    <col min="5" max="5" width="6.453125" bestFit="1" customWidth="1"/>
    <col min="6" max="6" width="13.26953125" bestFit="1" customWidth="1"/>
  </cols>
  <sheetData>
    <row r="1" spans="1:6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35">
      <c r="A2" s="4" t="s">
        <v>6</v>
      </c>
      <c r="B2" s="5">
        <v>20</v>
      </c>
      <c r="C2" s="5" t="s">
        <v>7</v>
      </c>
      <c r="D2" s="5">
        <v>60</v>
      </c>
      <c r="E2" s="6">
        <v>1.7</v>
      </c>
      <c r="F2" s="7">
        <v>66</v>
      </c>
    </row>
    <row r="3" spans="1:6" x14ac:dyDescent="0.35">
      <c r="A3" s="8" t="s">
        <v>8</v>
      </c>
      <c r="B3" s="9">
        <v>28</v>
      </c>
      <c r="C3" s="9" t="s">
        <v>9</v>
      </c>
      <c r="D3" s="9">
        <v>70</v>
      </c>
      <c r="E3" s="10">
        <v>1.74</v>
      </c>
      <c r="F3" s="11">
        <v>77</v>
      </c>
    </row>
    <row r="4" spans="1:6" x14ac:dyDescent="0.35">
      <c r="A4" s="4" t="s">
        <v>10</v>
      </c>
      <c r="B4" s="5">
        <v>15</v>
      </c>
      <c r="C4" s="5" t="s">
        <v>11</v>
      </c>
      <c r="D4" s="5">
        <v>50</v>
      </c>
      <c r="E4" s="6">
        <v>1.69</v>
      </c>
      <c r="F4" s="7">
        <v>55.000000000000007</v>
      </c>
    </row>
    <row r="5" spans="1:6" x14ac:dyDescent="0.35">
      <c r="A5" s="8" t="s">
        <v>12</v>
      </c>
      <c r="B5" s="9">
        <v>17</v>
      </c>
      <c r="C5" s="9" t="s">
        <v>13</v>
      </c>
      <c r="D5" s="9">
        <v>48</v>
      </c>
      <c r="E5" s="10">
        <v>1.6</v>
      </c>
      <c r="F5" s="11">
        <v>52.800000000000004</v>
      </c>
    </row>
    <row r="6" spans="1:6" x14ac:dyDescent="0.35">
      <c r="A6" s="4" t="s">
        <v>14</v>
      </c>
      <c r="B6" s="5">
        <v>40</v>
      </c>
      <c r="C6" s="5" t="s">
        <v>15</v>
      </c>
      <c r="D6" s="5">
        <v>58</v>
      </c>
      <c r="E6" s="6">
        <v>1.65</v>
      </c>
      <c r="F6" s="7">
        <v>63.800000000000004</v>
      </c>
    </row>
    <row r="7" spans="1:6" x14ac:dyDescent="0.35">
      <c r="A7" s="8" t="s">
        <v>16</v>
      </c>
      <c r="B7" s="9">
        <v>63</v>
      </c>
      <c r="C7" s="9" t="s">
        <v>7</v>
      </c>
      <c r="D7" s="9">
        <v>68</v>
      </c>
      <c r="E7" s="10">
        <v>1.68</v>
      </c>
      <c r="F7" s="11">
        <v>74.800000000000011</v>
      </c>
    </row>
    <row r="8" spans="1:6" x14ac:dyDescent="0.35">
      <c r="A8" s="4" t="s">
        <v>17</v>
      </c>
      <c r="B8" s="5">
        <v>72</v>
      </c>
      <c r="C8" s="5" t="s">
        <v>9</v>
      </c>
      <c r="D8" s="5">
        <v>52</v>
      </c>
      <c r="E8" s="6">
        <v>1.6</v>
      </c>
      <c r="F8" s="7">
        <v>57.2</v>
      </c>
    </row>
    <row r="9" spans="1:6" x14ac:dyDescent="0.35">
      <c r="A9" s="8" t="s">
        <v>18</v>
      </c>
      <c r="B9" s="9">
        <v>55</v>
      </c>
      <c r="C9" s="9" t="s">
        <v>11</v>
      </c>
      <c r="D9" s="9">
        <v>80</v>
      </c>
      <c r="E9" s="10">
        <v>1.8</v>
      </c>
      <c r="F9" s="11">
        <v>88</v>
      </c>
    </row>
    <row r="10" spans="1:6" x14ac:dyDescent="0.35">
      <c r="A10" s="4" t="s">
        <v>19</v>
      </c>
      <c r="B10" s="5">
        <v>55</v>
      </c>
      <c r="C10" s="5" t="s">
        <v>13</v>
      </c>
      <c r="D10" s="5">
        <v>95</v>
      </c>
      <c r="E10" s="6">
        <v>1.85</v>
      </c>
      <c r="F10" s="7">
        <v>104.50000000000001</v>
      </c>
    </row>
    <row r="11" spans="1:6" x14ac:dyDescent="0.35">
      <c r="A11" s="8" t="s">
        <v>20</v>
      </c>
      <c r="B11" s="9">
        <v>24</v>
      </c>
      <c r="C11" s="9" t="s">
        <v>15</v>
      </c>
      <c r="D11" s="9">
        <v>85</v>
      </c>
      <c r="E11" s="10">
        <v>1.9</v>
      </c>
      <c r="F11" s="11">
        <v>93.500000000000014</v>
      </c>
    </row>
    <row r="12" spans="1:6" x14ac:dyDescent="0.35">
      <c r="A12" s="4" t="s">
        <v>21</v>
      </c>
      <c r="B12" s="5">
        <v>18</v>
      </c>
      <c r="C12" s="5" t="s">
        <v>7</v>
      </c>
      <c r="D12" s="5">
        <v>65</v>
      </c>
      <c r="E12" s="6">
        <v>1.77</v>
      </c>
      <c r="F12" s="7">
        <v>71.5</v>
      </c>
    </row>
    <row r="13" spans="1:6" x14ac:dyDescent="0.35">
      <c r="A13" s="8" t="s">
        <v>22</v>
      </c>
      <c r="B13" s="9">
        <v>19</v>
      </c>
      <c r="C13" s="9" t="s">
        <v>9</v>
      </c>
      <c r="D13" s="9">
        <v>55</v>
      </c>
      <c r="E13" s="10">
        <v>1.61</v>
      </c>
      <c r="F13" s="11">
        <v>60.500000000000007</v>
      </c>
    </row>
    <row r="14" spans="1:6" x14ac:dyDescent="0.35">
      <c r="A14" s="4" t="s">
        <v>23</v>
      </c>
      <c r="B14" s="5">
        <v>19</v>
      </c>
      <c r="C14" s="5" t="s">
        <v>11</v>
      </c>
      <c r="D14" s="5">
        <v>60</v>
      </c>
      <c r="E14" s="6">
        <v>1.62</v>
      </c>
      <c r="F14" s="7">
        <v>66</v>
      </c>
    </row>
    <row r="15" spans="1:6" x14ac:dyDescent="0.35">
      <c r="A15" s="8" t="s">
        <v>24</v>
      </c>
      <c r="B15" s="9">
        <v>60</v>
      </c>
      <c r="C15" s="9" t="s">
        <v>13</v>
      </c>
      <c r="D15" s="9">
        <v>110</v>
      </c>
      <c r="E15" s="10">
        <v>1.84</v>
      </c>
      <c r="F15" s="11">
        <v>121.00000000000001</v>
      </c>
    </row>
    <row r="16" spans="1:6" x14ac:dyDescent="0.35">
      <c r="A16" s="4" t="s">
        <v>25</v>
      </c>
      <c r="B16" s="5">
        <v>32</v>
      </c>
      <c r="C16" s="5" t="s">
        <v>15</v>
      </c>
      <c r="D16" s="5">
        <v>56</v>
      </c>
      <c r="E16" s="6">
        <v>1.65</v>
      </c>
      <c r="F16" s="7">
        <v>61.600000000000009</v>
      </c>
    </row>
    <row r="17" spans="1:6" x14ac:dyDescent="0.35">
      <c r="A17" s="8" t="s">
        <v>26</v>
      </c>
      <c r="B17" s="9">
        <v>25</v>
      </c>
      <c r="C17" s="9" t="s">
        <v>7</v>
      </c>
      <c r="D17" s="9">
        <v>70</v>
      </c>
      <c r="E17" s="10">
        <v>1.78</v>
      </c>
      <c r="F17" s="11">
        <v>77</v>
      </c>
    </row>
    <row r="18" spans="1:6" x14ac:dyDescent="0.35">
      <c r="A18" s="4" t="s">
        <v>27</v>
      </c>
      <c r="B18" s="5">
        <v>49</v>
      </c>
      <c r="C18" s="5" t="s">
        <v>9</v>
      </c>
      <c r="D18" s="5">
        <v>77</v>
      </c>
      <c r="E18" s="6">
        <v>1.79</v>
      </c>
      <c r="F18" s="7">
        <v>84.7</v>
      </c>
    </row>
    <row r="19" spans="1:6" x14ac:dyDescent="0.35">
      <c r="A19" s="8" t="s">
        <v>28</v>
      </c>
      <c r="B19" s="9">
        <v>10</v>
      </c>
      <c r="C19" s="9" t="s">
        <v>11</v>
      </c>
      <c r="D19" s="9">
        <v>38</v>
      </c>
      <c r="E19" s="10">
        <v>1.3</v>
      </c>
      <c r="F19" s="11">
        <v>41.800000000000004</v>
      </c>
    </row>
    <row r="20" spans="1:6" x14ac:dyDescent="0.35">
      <c r="A20" s="4" t="s">
        <v>29</v>
      </c>
      <c r="B20" s="5">
        <v>5</v>
      </c>
      <c r="C20" s="5" t="s">
        <v>13</v>
      </c>
      <c r="D20" s="5">
        <v>28</v>
      </c>
      <c r="E20" s="6">
        <v>1.1000000000000001</v>
      </c>
      <c r="F20" s="7">
        <v>30.800000000000004</v>
      </c>
    </row>
    <row r="21" spans="1:6" x14ac:dyDescent="0.35">
      <c r="A21" s="8" t="s">
        <v>30</v>
      </c>
      <c r="B21" s="9">
        <v>11</v>
      </c>
      <c r="C21" s="9" t="s">
        <v>15</v>
      </c>
      <c r="D21" s="9">
        <v>40</v>
      </c>
      <c r="E21" s="10">
        <v>1.3</v>
      </c>
      <c r="F21" s="11">
        <v>44</v>
      </c>
    </row>
    <row r="22" spans="1:6" x14ac:dyDescent="0.35">
      <c r="A22" s="4" t="s">
        <v>6</v>
      </c>
      <c r="B22" s="5">
        <v>20</v>
      </c>
      <c r="C22" s="5" t="s">
        <v>7</v>
      </c>
      <c r="D22" s="5">
        <v>60</v>
      </c>
      <c r="E22" s="6">
        <v>1.7</v>
      </c>
      <c r="F22" s="7">
        <v>66</v>
      </c>
    </row>
    <row r="23" spans="1:6" x14ac:dyDescent="0.35">
      <c r="A23" s="8" t="s">
        <v>8</v>
      </c>
      <c r="B23" s="9">
        <v>28</v>
      </c>
      <c r="C23" s="9" t="s">
        <v>9</v>
      </c>
      <c r="D23" s="9">
        <v>70</v>
      </c>
      <c r="E23" s="10">
        <v>1.74</v>
      </c>
      <c r="F23" s="11">
        <v>77</v>
      </c>
    </row>
    <row r="24" spans="1:6" x14ac:dyDescent="0.35">
      <c r="A24" s="4" t="s">
        <v>10</v>
      </c>
      <c r="B24" s="5">
        <v>15</v>
      </c>
      <c r="C24" s="5" t="s">
        <v>11</v>
      </c>
      <c r="D24" s="5">
        <v>50</v>
      </c>
      <c r="E24" s="6">
        <v>1.69</v>
      </c>
      <c r="F24" s="7">
        <v>55.000000000000007</v>
      </c>
    </row>
    <row r="25" spans="1:6" x14ac:dyDescent="0.35">
      <c r="A25" s="8" t="s">
        <v>12</v>
      </c>
      <c r="B25" s="9">
        <v>17</v>
      </c>
      <c r="C25" s="9" t="s">
        <v>13</v>
      </c>
      <c r="D25" s="9">
        <v>48</v>
      </c>
      <c r="E25" s="10">
        <v>1.6</v>
      </c>
      <c r="F25" s="11">
        <v>52.800000000000004</v>
      </c>
    </row>
    <row r="26" spans="1:6" x14ac:dyDescent="0.35">
      <c r="A26" s="4" t="s">
        <v>14</v>
      </c>
      <c r="B26" s="5">
        <v>40</v>
      </c>
      <c r="C26" s="5" t="s">
        <v>15</v>
      </c>
      <c r="D26" s="5">
        <v>58</v>
      </c>
      <c r="E26" s="6">
        <v>1.65</v>
      </c>
      <c r="F26" s="7">
        <v>63.800000000000004</v>
      </c>
    </row>
    <row r="27" spans="1:6" x14ac:dyDescent="0.35">
      <c r="A27" s="8" t="s">
        <v>16</v>
      </c>
      <c r="B27" s="9">
        <v>63</v>
      </c>
      <c r="C27" s="9" t="s">
        <v>7</v>
      </c>
      <c r="D27" s="9">
        <v>68</v>
      </c>
      <c r="E27" s="10">
        <v>1.68</v>
      </c>
      <c r="F27" s="11">
        <v>74.800000000000011</v>
      </c>
    </row>
    <row r="28" spans="1:6" x14ac:dyDescent="0.35">
      <c r="A28" s="4" t="s">
        <v>17</v>
      </c>
      <c r="B28" s="5">
        <v>72</v>
      </c>
      <c r="C28" s="5" t="s">
        <v>9</v>
      </c>
      <c r="D28" s="5">
        <v>52</v>
      </c>
      <c r="E28" s="6">
        <v>1.6</v>
      </c>
      <c r="F28" s="7">
        <v>57.2</v>
      </c>
    </row>
    <row r="29" spans="1:6" x14ac:dyDescent="0.35">
      <c r="A29" s="8" t="s">
        <v>18</v>
      </c>
      <c r="B29" s="9">
        <v>55</v>
      </c>
      <c r="C29" s="9" t="s">
        <v>11</v>
      </c>
      <c r="D29" s="9">
        <v>80</v>
      </c>
      <c r="E29" s="10">
        <v>1.8</v>
      </c>
      <c r="F29" s="11">
        <v>88</v>
      </c>
    </row>
    <row r="30" spans="1:6" x14ac:dyDescent="0.35">
      <c r="A30" s="4" t="s">
        <v>19</v>
      </c>
      <c r="B30" s="5">
        <v>55</v>
      </c>
      <c r="C30" s="5" t="s">
        <v>13</v>
      </c>
      <c r="D30" s="5">
        <v>95</v>
      </c>
      <c r="E30" s="6">
        <v>1.85</v>
      </c>
      <c r="F30" s="7">
        <v>104.50000000000001</v>
      </c>
    </row>
    <row r="31" spans="1:6" x14ac:dyDescent="0.35">
      <c r="A31" s="8" t="s">
        <v>20</v>
      </c>
      <c r="B31" s="9">
        <v>24</v>
      </c>
      <c r="C31" s="9" t="s">
        <v>15</v>
      </c>
      <c r="D31" s="9">
        <v>85</v>
      </c>
      <c r="E31" s="10">
        <v>1.9</v>
      </c>
      <c r="F31" s="11">
        <v>93.500000000000014</v>
      </c>
    </row>
    <row r="32" spans="1:6" x14ac:dyDescent="0.35">
      <c r="A32" s="4" t="s">
        <v>21</v>
      </c>
      <c r="B32" s="5">
        <v>18</v>
      </c>
      <c r="C32" s="5" t="s">
        <v>7</v>
      </c>
      <c r="D32" s="5">
        <v>65</v>
      </c>
      <c r="E32" s="6">
        <v>1.77</v>
      </c>
      <c r="F32" s="7">
        <v>71.5</v>
      </c>
    </row>
    <row r="33" spans="1:6" x14ac:dyDescent="0.35">
      <c r="A33" s="8" t="s">
        <v>22</v>
      </c>
      <c r="B33" s="9">
        <v>19</v>
      </c>
      <c r="C33" s="9" t="s">
        <v>9</v>
      </c>
      <c r="D33" s="9">
        <v>55</v>
      </c>
      <c r="E33" s="10">
        <v>1.61</v>
      </c>
      <c r="F33" s="11">
        <v>60.500000000000007</v>
      </c>
    </row>
    <row r="34" spans="1:6" x14ac:dyDescent="0.35">
      <c r="A34" s="4" t="s">
        <v>23</v>
      </c>
      <c r="B34" s="5">
        <v>19</v>
      </c>
      <c r="C34" s="5" t="s">
        <v>11</v>
      </c>
      <c r="D34" s="5">
        <v>60</v>
      </c>
      <c r="E34" s="6">
        <v>1.62</v>
      </c>
      <c r="F34" s="7">
        <v>66</v>
      </c>
    </row>
    <row r="35" spans="1:6" x14ac:dyDescent="0.35">
      <c r="A35" s="8" t="s">
        <v>24</v>
      </c>
      <c r="B35" s="9">
        <v>60</v>
      </c>
      <c r="C35" s="9" t="s">
        <v>13</v>
      </c>
      <c r="D35" s="9">
        <v>110</v>
      </c>
      <c r="E35" s="10">
        <v>1.84</v>
      </c>
      <c r="F35" s="11">
        <v>121.00000000000001</v>
      </c>
    </row>
    <row r="36" spans="1:6" x14ac:dyDescent="0.35">
      <c r="A36" s="4" t="s">
        <v>25</v>
      </c>
      <c r="B36" s="5">
        <v>32</v>
      </c>
      <c r="C36" s="5" t="s">
        <v>15</v>
      </c>
      <c r="D36" s="5">
        <v>56</v>
      </c>
      <c r="E36" s="6">
        <v>1.65</v>
      </c>
      <c r="F36" s="7">
        <v>61.600000000000009</v>
      </c>
    </row>
    <row r="37" spans="1:6" x14ac:dyDescent="0.35">
      <c r="A37" s="8" t="s">
        <v>26</v>
      </c>
      <c r="B37" s="9">
        <v>25</v>
      </c>
      <c r="C37" s="9" t="s">
        <v>7</v>
      </c>
      <c r="D37" s="9">
        <v>70</v>
      </c>
      <c r="E37" s="10">
        <v>1.78</v>
      </c>
      <c r="F37" s="11">
        <v>77</v>
      </c>
    </row>
    <row r="38" spans="1:6" x14ac:dyDescent="0.35">
      <c r="A38" s="4" t="s">
        <v>27</v>
      </c>
      <c r="B38" s="5">
        <v>49</v>
      </c>
      <c r="C38" s="5" t="s">
        <v>9</v>
      </c>
      <c r="D38" s="5">
        <v>77</v>
      </c>
      <c r="E38" s="6">
        <v>1.79</v>
      </c>
      <c r="F38" s="7">
        <v>84.7</v>
      </c>
    </row>
    <row r="39" spans="1:6" x14ac:dyDescent="0.35">
      <c r="A39" s="8" t="s">
        <v>28</v>
      </c>
      <c r="B39" s="9">
        <v>10</v>
      </c>
      <c r="C39" s="9" t="s">
        <v>11</v>
      </c>
      <c r="D39" s="9">
        <v>38</v>
      </c>
      <c r="E39" s="10">
        <v>1.3</v>
      </c>
      <c r="F39" s="11">
        <v>41.800000000000004</v>
      </c>
    </row>
    <row r="40" spans="1:6" x14ac:dyDescent="0.35">
      <c r="A40" s="4" t="s">
        <v>29</v>
      </c>
      <c r="B40" s="5">
        <v>5</v>
      </c>
      <c r="C40" s="5" t="s">
        <v>13</v>
      </c>
      <c r="D40" s="5">
        <v>28</v>
      </c>
      <c r="E40" s="6">
        <v>1.1000000000000001</v>
      </c>
      <c r="F40" s="7">
        <v>30.800000000000004</v>
      </c>
    </row>
    <row r="41" spans="1:6" x14ac:dyDescent="0.35">
      <c r="A41" s="8" t="s">
        <v>30</v>
      </c>
      <c r="B41" s="9">
        <v>11</v>
      </c>
      <c r="C41" s="9" t="s">
        <v>15</v>
      </c>
      <c r="D41" s="9">
        <v>40</v>
      </c>
      <c r="E41" s="10">
        <v>1.3</v>
      </c>
      <c r="F41" s="11">
        <v>44</v>
      </c>
    </row>
    <row r="42" spans="1:6" x14ac:dyDescent="0.35">
      <c r="A42" s="4" t="s">
        <v>6</v>
      </c>
      <c r="B42" s="5">
        <v>20</v>
      </c>
      <c r="C42" s="5" t="s">
        <v>7</v>
      </c>
      <c r="D42" s="5">
        <v>60</v>
      </c>
      <c r="E42" s="6">
        <v>1.7</v>
      </c>
      <c r="F42" s="7">
        <v>66</v>
      </c>
    </row>
    <row r="43" spans="1:6" x14ac:dyDescent="0.35">
      <c r="A43" s="8" t="s">
        <v>8</v>
      </c>
      <c r="B43" s="9">
        <v>28</v>
      </c>
      <c r="C43" s="9" t="s">
        <v>9</v>
      </c>
      <c r="D43" s="9">
        <v>70</v>
      </c>
      <c r="E43" s="10">
        <v>1.74</v>
      </c>
      <c r="F43" s="11">
        <v>77</v>
      </c>
    </row>
    <row r="44" spans="1:6" x14ac:dyDescent="0.35">
      <c r="A44" s="4" t="s">
        <v>10</v>
      </c>
      <c r="B44" s="5">
        <v>15</v>
      </c>
      <c r="C44" s="5" t="s">
        <v>11</v>
      </c>
      <c r="D44" s="5">
        <v>50</v>
      </c>
      <c r="E44" s="6">
        <v>1.69</v>
      </c>
      <c r="F44" s="7">
        <v>55.000000000000007</v>
      </c>
    </row>
    <row r="45" spans="1:6" x14ac:dyDescent="0.35">
      <c r="A45" s="8" t="s">
        <v>12</v>
      </c>
      <c r="B45" s="9">
        <v>17</v>
      </c>
      <c r="C45" s="9" t="s">
        <v>13</v>
      </c>
      <c r="D45" s="9">
        <v>48</v>
      </c>
      <c r="E45" s="10">
        <v>1.6</v>
      </c>
      <c r="F45" s="11">
        <v>52.800000000000004</v>
      </c>
    </row>
    <row r="46" spans="1:6" x14ac:dyDescent="0.35">
      <c r="A46" s="4" t="s">
        <v>14</v>
      </c>
      <c r="B46" s="5">
        <v>40</v>
      </c>
      <c r="C46" s="5" t="s">
        <v>15</v>
      </c>
      <c r="D46" s="5">
        <v>58</v>
      </c>
      <c r="E46" s="6">
        <v>1.65</v>
      </c>
      <c r="F46" s="7">
        <v>63.800000000000004</v>
      </c>
    </row>
    <row r="47" spans="1:6" x14ac:dyDescent="0.35">
      <c r="A47" s="8" t="s">
        <v>16</v>
      </c>
      <c r="B47" s="9">
        <v>63</v>
      </c>
      <c r="C47" s="9" t="s">
        <v>7</v>
      </c>
      <c r="D47" s="9">
        <v>68</v>
      </c>
      <c r="E47" s="10">
        <v>1.68</v>
      </c>
      <c r="F47" s="11">
        <v>74.800000000000011</v>
      </c>
    </row>
    <row r="48" spans="1:6" x14ac:dyDescent="0.35">
      <c r="A48" s="4" t="s">
        <v>17</v>
      </c>
      <c r="B48" s="5">
        <v>72</v>
      </c>
      <c r="C48" s="5" t="s">
        <v>9</v>
      </c>
      <c r="D48" s="5">
        <v>52</v>
      </c>
      <c r="E48" s="6">
        <v>1.6</v>
      </c>
      <c r="F48" s="7">
        <v>57.2</v>
      </c>
    </row>
    <row r="49" spans="1:6" x14ac:dyDescent="0.35">
      <c r="A49" s="8" t="s">
        <v>18</v>
      </c>
      <c r="B49" s="9">
        <v>55</v>
      </c>
      <c r="C49" s="9" t="s">
        <v>11</v>
      </c>
      <c r="D49" s="9">
        <v>80</v>
      </c>
      <c r="E49" s="10">
        <v>1.8</v>
      </c>
      <c r="F49" s="11">
        <v>88</v>
      </c>
    </row>
    <row r="50" spans="1:6" x14ac:dyDescent="0.35">
      <c r="A50" s="4" t="s">
        <v>19</v>
      </c>
      <c r="B50" s="5">
        <v>55</v>
      </c>
      <c r="C50" s="5" t="s">
        <v>13</v>
      </c>
      <c r="D50" s="5">
        <v>95</v>
      </c>
      <c r="E50" s="6">
        <v>1.85</v>
      </c>
      <c r="F50" s="7">
        <v>104.50000000000001</v>
      </c>
    </row>
    <row r="51" spans="1:6" x14ac:dyDescent="0.35">
      <c r="A51" s="8" t="s">
        <v>20</v>
      </c>
      <c r="B51" s="9">
        <v>24</v>
      </c>
      <c r="C51" s="9" t="s">
        <v>15</v>
      </c>
      <c r="D51" s="9">
        <v>85</v>
      </c>
      <c r="E51" s="10">
        <v>1.9</v>
      </c>
      <c r="F51" s="11">
        <v>93.500000000000014</v>
      </c>
    </row>
    <row r="52" spans="1:6" x14ac:dyDescent="0.35">
      <c r="A52" s="4" t="s">
        <v>21</v>
      </c>
      <c r="B52" s="5">
        <v>18</v>
      </c>
      <c r="C52" s="5" t="s">
        <v>7</v>
      </c>
      <c r="D52" s="5">
        <v>65</v>
      </c>
      <c r="E52" s="6">
        <v>1.77</v>
      </c>
      <c r="F52" s="7">
        <v>71.5</v>
      </c>
    </row>
    <row r="53" spans="1:6" x14ac:dyDescent="0.35">
      <c r="A53" s="8" t="s">
        <v>22</v>
      </c>
      <c r="B53" s="9">
        <v>19</v>
      </c>
      <c r="C53" s="9" t="s">
        <v>9</v>
      </c>
      <c r="D53" s="9">
        <v>55</v>
      </c>
      <c r="E53" s="10">
        <v>1.61</v>
      </c>
      <c r="F53" s="11">
        <v>60.500000000000007</v>
      </c>
    </row>
    <row r="54" spans="1:6" x14ac:dyDescent="0.35">
      <c r="A54" s="4" t="s">
        <v>23</v>
      </c>
      <c r="B54" s="5">
        <v>19</v>
      </c>
      <c r="C54" s="5" t="s">
        <v>11</v>
      </c>
      <c r="D54" s="5">
        <v>60</v>
      </c>
      <c r="E54" s="6">
        <v>1.62</v>
      </c>
      <c r="F54" s="7">
        <v>66</v>
      </c>
    </row>
    <row r="55" spans="1:6" x14ac:dyDescent="0.35">
      <c r="A55" s="8" t="s">
        <v>24</v>
      </c>
      <c r="B55" s="9">
        <v>60</v>
      </c>
      <c r="C55" s="9" t="s">
        <v>13</v>
      </c>
      <c r="D55" s="9">
        <v>110</v>
      </c>
      <c r="E55" s="10">
        <v>1.84</v>
      </c>
      <c r="F55" s="11">
        <v>121.00000000000001</v>
      </c>
    </row>
    <row r="56" spans="1:6" x14ac:dyDescent="0.35">
      <c r="A56" s="4" t="s">
        <v>25</v>
      </c>
      <c r="B56" s="5">
        <v>32</v>
      </c>
      <c r="C56" s="5" t="s">
        <v>15</v>
      </c>
      <c r="D56" s="5">
        <v>56</v>
      </c>
      <c r="E56" s="6">
        <v>1.65</v>
      </c>
      <c r="F56" s="7">
        <v>61.600000000000009</v>
      </c>
    </row>
    <row r="57" spans="1:6" x14ac:dyDescent="0.35">
      <c r="A57" s="8" t="s">
        <v>26</v>
      </c>
      <c r="B57" s="9">
        <v>25</v>
      </c>
      <c r="C57" s="9" t="s">
        <v>7</v>
      </c>
      <c r="D57" s="9">
        <v>70</v>
      </c>
      <c r="E57" s="10">
        <v>1.78</v>
      </c>
      <c r="F57" s="11">
        <v>77</v>
      </c>
    </row>
    <row r="58" spans="1:6" x14ac:dyDescent="0.35">
      <c r="A58" s="4" t="s">
        <v>27</v>
      </c>
      <c r="B58" s="5">
        <v>49</v>
      </c>
      <c r="C58" s="5" t="s">
        <v>9</v>
      </c>
      <c r="D58" s="5"/>
      <c r="E58" s="6">
        <v>1.79</v>
      </c>
      <c r="F58" s="7">
        <v>0</v>
      </c>
    </row>
    <row r="59" spans="1:6" x14ac:dyDescent="0.35">
      <c r="A59" s="8" t="s">
        <v>28</v>
      </c>
      <c r="B59" s="9">
        <v>10</v>
      </c>
      <c r="C59" s="9" t="s">
        <v>11</v>
      </c>
      <c r="D59" s="9">
        <v>38</v>
      </c>
      <c r="E59" s="10">
        <v>1.3</v>
      </c>
      <c r="F59" s="11">
        <v>41.800000000000004</v>
      </c>
    </row>
    <row r="60" spans="1:6" x14ac:dyDescent="0.35">
      <c r="A60" s="4" t="s">
        <v>29</v>
      </c>
      <c r="B60" s="5">
        <v>5</v>
      </c>
      <c r="C60" s="5" t="s">
        <v>13</v>
      </c>
      <c r="D60" s="5">
        <v>28</v>
      </c>
      <c r="E60" s="6">
        <v>1.1000000000000001</v>
      </c>
      <c r="F60" s="7">
        <v>30.800000000000004</v>
      </c>
    </row>
    <row r="61" spans="1:6" x14ac:dyDescent="0.35">
      <c r="A61" s="8" t="s">
        <v>30</v>
      </c>
      <c r="B61" s="9">
        <v>11</v>
      </c>
      <c r="C61" s="9" t="s">
        <v>15</v>
      </c>
      <c r="D61" s="9">
        <v>40</v>
      </c>
      <c r="E61" s="10">
        <v>1.3</v>
      </c>
      <c r="F61" s="11">
        <v>44</v>
      </c>
    </row>
    <row r="62" spans="1:6" x14ac:dyDescent="0.35">
      <c r="A62" s="4" t="s">
        <v>6</v>
      </c>
      <c r="B62" s="5">
        <v>20</v>
      </c>
      <c r="C62" s="5" t="s">
        <v>7</v>
      </c>
      <c r="D62" s="5">
        <v>60</v>
      </c>
      <c r="E62" s="6">
        <v>1.7</v>
      </c>
      <c r="F62" s="7">
        <v>66</v>
      </c>
    </row>
    <row r="63" spans="1:6" x14ac:dyDescent="0.35">
      <c r="A63" s="8" t="s">
        <v>8</v>
      </c>
      <c r="B63" s="9">
        <v>28</v>
      </c>
      <c r="C63" s="9" t="s">
        <v>9</v>
      </c>
      <c r="D63" s="9">
        <v>70</v>
      </c>
      <c r="E63" s="10">
        <v>1.74</v>
      </c>
      <c r="F63" s="11">
        <v>77</v>
      </c>
    </row>
    <row r="64" spans="1:6" x14ac:dyDescent="0.35">
      <c r="A64" s="4" t="s">
        <v>10</v>
      </c>
      <c r="B64" s="5">
        <v>15</v>
      </c>
      <c r="C64" s="5" t="s">
        <v>11</v>
      </c>
      <c r="D64" s="5">
        <v>50</v>
      </c>
      <c r="E64" s="6">
        <v>1.69</v>
      </c>
      <c r="F64" s="7">
        <v>55.000000000000007</v>
      </c>
    </row>
    <row r="65" spans="1:6" x14ac:dyDescent="0.35">
      <c r="A65" s="8" t="s">
        <v>12</v>
      </c>
      <c r="B65" s="9">
        <v>17</v>
      </c>
      <c r="C65" s="9" t="s">
        <v>13</v>
      </c>
      <c r="D65" s="9">
        <v>48</v>
      </c>
      <c r="E65" s="10">
        <v>1.6</v>
      </c>
      <c r="F65" s="11">
        <v>52.800000000000004</v>
      </c>
    </row>
    <row r="66" spans="1:6" x14ac:dyDescent="0.35">
      <c r="A66" s="4" t="s">
        <v>14</v>
      </c>
      <c r="B66" s="5">
        <v>40</v>
      </c>
      <c r="C66" s="5" t="s">
        <v>15</v>
      </c>
      <c r="D66" s="5">
        <v>58</v>
      </c>
      <c r="E66" s="6">
        <v>1.65</v>
      </c>
      <c r="F66" s="7">
        <v>63.800000000000004</v>
      </c>
    </row>
    <row r="67" spans="1:6" x14ac:dyDescent="0.35">
      <c r="A67" s="8" t="s">
        <v>16</v>
      </c>
      <c r="B67" s="9">
        <v>63</v>
      </c>
      <c r="C67" s="9" t="s">
        <v>7</v>
      </c>
      <c r="D67" s="9">
        <v>68</v>
      </c>
      <c r="E67" s="10">
        <v>1.68</v>
      </c>
      <c r="F67" s="11">
        <v>74.800000000000011</v>
      </c>
    </row>
    <row r="68" spans="1:6" x14ac:dyDescent="0.35">
      <c r="A68" s="4" t="s">
        <v>17</v>
      </c>
      <c r="B68" s="5">
        <v>72</v>
      </c>
      <c r="C68" s="5" t="s">
        <v>9</v>
      </c>
      <c r="D68" s="5">
        <v>52</v>
      </c>
      <c r="E68" s="6">
        <v>1.6</v>
      </c>
      <c r="F68" s="7">
        <v>57.2</v>
      </c>
    </row>
    <row r="69" spans="1:6" x14ac:dyDescent="0.35">
      <c r="A69" s="8" t="s">
        <v>18</v>
      </c>
      <c r="B69" s="9">
        <v>55</v>
      </c>
      <c r="C69" s="9" t="s">
        <v>11</v>
      </c>
      <c r="D69" s="9">
        <v>80</v>
      </c>
      <c r="E69" s="10">
        <v>1.8</v>
      </c>
      <c r="F69" s="11">
        <v>88</v>
      </c>
    </row>
    <row r="70" spans="1:6" x14ac:dyDescent="0.35">
      <c r="A70" s="4" t="s">
        <v>19</v>
      </c>
      <c r="B70" s="5">
        <v>55</v>
      </c>
      <c r="C70" s="5" t="s">
        <v>13</v>
      </c>
      <c r="D70" s="5">
        <v>95</v>
      </c>
      <c r="E70" s="6">
        <v>1.85</v>
      </c>
      <c r="F70" s="7">
        <v>104.50000000000001</v>
      </c>
    </row>
    <row r="71" spans="1:6" x14ac:dyDescent="0.35">
      <c r="A71" s="8" t="s">
        <v>20</v>
      </c>
      <c r="B71" s="9">
        <v>24</v>
      </c>
      <c r="C71" s="9" t="s">
        <v>15</v>
      </c>
      <c r="D71" s="9">
        <v>85</v>
      </c>
      <c r="E71" s="10">
        <v>1.9</v>
      </c>
      <c r="F71" s="11">
        <v>93.500000000000014</v>
      </c>
    </row>
    <row r="72" spans="1:6" x14ac:dyDescent="0.35">
      <c r="A72" s="4" t="s">
        <v>21</v>
      </c>
      <c r="B72" s="5">
        <v>18</v>
      </c>
      <c r="C72" s="5" t="s">
        <v>7</v>
      </c>
      <c r="D72" s="5">
        <v>65</v>
      </c>
      <c r="E72" s="6">
        <v>1.77</v>
      </c>
      <c r="F72" s="7">
        <v>71.5</v>
      </c>
    </row>
    <row r="73" spans="1:6" x14ac:dyDescent="0.35">
      <c r="A73" s="8" t="s">
        <v>22</v>
      </c>
      <c r="B73" s="9">
        <v>19</v>
      </c>
      <c r="C73" s="9" t="s">
        <v>9</v>
      </c>
      <c r="D73" s="9">
        <v>55</v>
      </c>
      <c r="E73" s="10">
        <v>1.61</v>
      </c>
      <c r="F73" s="11">
        <v>60.500000000000007</v>
      </c>
    </row>
    <row r="74" spans="1:6" x14ac:dyDescent="0.35">
      <c r="A74" s="4" t="s">
        <v>23</v>
      </c>
      <c r="B74" s="5">
        <v>19</v>
      </c>
      <c r="C74" s="5"/>
      <c r="D74" s="5">
        <v>60</v>
      </c>
      <c r="E74" s="6">
        <v>1.62</v>
      </c>
      <c r="F74" s="7">
        <v>66</v>
      </c>
    </row>
    <row r="75" spans="1:6" x14ac:dyDescent="0.35">
      <c r="A75" s="8" t="s">
        <v>24</v>
      </c>
      <c r="B75" s="9">
        <v>60</v>
      </c>
      <c r="C75" s="9" t="s">
        <v>13</v>
      </c>
      <c r="D75" s="9">
        <v>110</v>
      </c>
      <c r="E75" s="10">
        <v>1.84</v>
      </c>
      <c r="F75" s="11">
        <v>121.00000000000001</v>
      </c>
    </row>
    <row r="76" spans="1:6" x14ac:dyDescent="0.35">
      <c r="A76" s="4" t="s">
        <v>25</v>
      </c>
      <c r="B76" s="5">
        <v>32</v>
      </c>
      <c r="C76" s="5" t="s">
        <v>15</v>
      </c>
      <c r="D76" s="5">
        <v>56</v>
      </c>
      <c r="E76" s="6">
        <v>1.65</v>
      </c>
      <c r="F76" s="7">
        <v>61.600000000000009</v>
      </c>
    </row>
    <row r="77" spans="1:6" x14ac:dyDescent="0.35">
      <c r="A77" s="8" t="s">
        <v>26</v>
      </c>
      <c r="B77" s="9">
        <v>25</v>
      </c>
      <c r="C77" s="9" t="s">
        <v>7</v>
      </c>
      <c r="D77" s="9">
        <v>70</v>
      </c>
      <c r="E77" s="10">
        <v>1.78</v>
      </c>
      <c r="F77" s="11">
        <v>77</v>
      </c>
    </row>
    <row r="78" spans="1:6" x14ac:dyDescent="0.35">
      <c r="A78" s="4" t="s">
        <v>27</v>
      </c>
      <c r="B78" s="5">
        <v>49</v>
      </c>
      <c r="C78" s="5" t="s">
        <v>9</v>
      </c>
      <c r="D78" s="5">
        <v>77</v>
      </c>
      <c r="E78" s="6"/>
      <c r="F78" s="7">
        <v>84.7</v>
      </c>
    </row>
    <row r="79" spans="1:6" x14ac:dyDescent="0.35">
      <c r="A79" s="8" t="s">
        <v>28</v>
      </c>
      <c r="B79" s="9">
        <v>10</v>
      </c>
      <c r="C79" s="9" t="s">
        <v>11</v>
      </c>
      <c r="D79" s="9">
        <v>38</v>
      </c>
      <c r="E79" s="10">
        <v>1.3</v>
      </c>
      <c r="F79" s="11">
        <v>41.800000000000004</v>
      </c>
    </row>
    <row r="80" spans="1:6" x14ac:dyDescent="0.35">
      <c r="A80" s="4" t="s">
        <v>29</v>
      </c>
      <c r="B80" s="5">
        <v>5</v>
      </c>
      <c r="C80" s="5" t="s">
        <v>13</v>
      </c>
      <c r="D80" s="5">
        <v>28</v>
      </c>
      <c r="E80" s="6">
        <v>1.1000000000000001</v>
      </c>
      <c r="F80" s="7">
        <v>30.800000000000004</v>
      </c>
    </row>
    <row r="81" spans="1:6" x14ac:dyDescent="0.35">
      <c r="A81" s="12" t="s">
        <v>30</v>
      </c>
      <c r="B81" s="13">
        <v>11</v>
      </c>
      <c r="C81" s="13" t="s">
        <v>15</v>
      </c>
      <c r="D81" s="13">
        <v>40</v>
      </c>
      <c r="E81" s="14">
        <v>1.3</v>
      </c>
      <c r="F81" s="15">
        <v>44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K20"/>
  <sheetViews>
    <sheetView topLeftCell="B1" workbookViewId="0">
      <selection activeCell="E8" sqref="E8"/>
    </sheetView>
  </sheetViews>
  <sheetFormatPr defaultRowHeight="14.5" x14ac:dyDescent="0.35"/>
  <cols>
    <col min="1" max="1" width="18" customWidth="1"/>
    <col min="2" max="2" width="14.26953125" customWidth="1"/>
    <col min="3" max="3" width="15.453125" customWidth="1"/>
    <col min="9" max="9" width="18" bestFit="1" customWidth="1"/>
    <col min="10" max="10" width="14.26953125" customWidth="1"/>
    <col min="11" max="11" width="15.453125" bestFit="1" customWidth="1"/>
  </cols>
  <sheetData>
    <row r="1" spans="1:11" x14ac:dyDescent="0.35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35">
      <c r="A2" s="17">
        <v>5</v>
      </c>
      <c r="B2" s="18">
        <v>28</v>
      </c>
      <c r="C2" s="18">
        <v>1.1000000000000001</v>
      </c>
      <c r="I2" s="17" t="s">
        <v>15</v>
      </c>
      <c r="J2" s="19">
        <v>59.75</v>
      </c>
      <c r="K2" s="20">
        <v>1.6249999999999998</v>
      </c>
    </row>
    <row r="3" spans="1:11" x14ac:dyDescent="0.35">
      <c r="A3" s="17">
        <v>10</v>
      </c>
      <c r="B3" s="18">
        <v>38</v>
      </c>
      <c r="C3" s="18">
        <v>1.3</v>
      </c>
      <c r="I3" s="17" t="s">
        <v>11</v>
      </c>
      <c r="J3" s="19">
        <v>56.8</v>
      </c>
      <c r="K3" s="20">
        <v>1.6013333333333335</v>
      </c>
    </row>
    <row r="4" spans="1:11" x14ac:dyDescent="0.35">
      <c r="A4" s="17">
        <v>11</v>
      </c>
      <c r="B4" s="18">
        <v>40</v>
      </c>
      <c r="C4" s="18">
        <v>1.3</v>
      </c>
      <c r="I4" s="17" t="s">
        <v>13</v>
      </c>
      <c r="J4" s="19">
        <v>70.25</v>
      </c>
      <c r="K4" s="20">
        <v>1.5975000000000004</v>
      </c>
    </row>
    <row r="5" spans="1:11" x14ac:dyDescent="0.35">
      <c r="A5" s="17">
        <v>15</v>
      </c>
      <c r="B5" s="18">
        <v>50</v>
      </c>
      <c r="C5" s="18">
        <v>1.69</v>
      </c>
      <c r="I5" s="17" t="s">
        <v>7</v>
      </c>
      <c r="J5" s="19">
        <v>65.75</v>
      </c>
      <c r="K5" s="20">
        <v>1.7324999999999999</v>
      </c>
    </row>
    <row r="6" spans="1:11" x14ac:dyDescent="0.35">
      <c r="A6" s="17">
        <v>17</v>
      </c>
      <c r="B6" s="18">
        <v>48</v>
      </c>
      <c r="C6" s="18">
        <v>1.6</v>
      </c>
      <c r="I6" s="17" t="s">
        <v>9</v>
      </c>
      <c r="J6" s="19">
        <v>62.6</v>
      </c>
      <c r="K6" s="20">
        <v>1.6779999999999999</v>
      </c>
    </row>
    <row r="7" spans="1:11" x14ac:dyDescent="0.35">
      <c r="A7" s="17">
        <v>18</v>
      </c>
      <c r="B7" s="18">
        <v>65</v>
      </c>
      <c r="C7" s="18">
        <v>1.77</v>
      </c>
      <c r="I7" s="17" t="s">
        <v>32</v>
      </c>
      <c r="J7" s="19">
        <v>63.115384615384613</v>
      </c>
      <c r="K7" s="20">
        <v>1.6470512820512817</v>
      </c>
    </row>
    <row r="8" spans="1:11" x14ac:dyDescent="0.35">
      <c r="A8" s="17">
        <v>19</v>
      </c>
      <c r="B8" s="18">
        <v>57.5</v>
      </c>
      <c r="C8" s="18">
        <v>1.6150000000000002</v>
      </c>
    </row>
    <row r="9" spans="1:11" x14ac:dyDescent="0.35">
      <c r="A9" s="17">
        <v>20</v>
      </c>
      <c r="B9" s="18">
        <v>60</v>
      </c>
      <c r="C9" s="18">
        <v>1.7</v>
      </c>
    </row>
    <row r="10" spans="1:11" x14ac:dyDescent="0.35">
      <c r="A10" s="17">
        <v>24</v>
      </c>
      <c r="B10" s="18">
        <v>85</v>
      </c>
      <c r="C10" s="18">
        <v>1.9</v>
      </c>
    </row>
    <row r="11" spans="1:11" x14ac:dyDescent="0.35">
      <c r="A11" s="17">
        <v>25</v>
      </c>
      <c r="B11" s="18">
        <v>70</v>
      </c>
      <c r="C11" s="18">
        <v>1.78</v>
      </c>
    </row>
    <row r="12" spans="1:11" x14ac:dyDescent="0.35">
      <c r="A12" s="17">
        <v>28</v>
      </c>
      <c r="B12" s="18">
        <v>70</v>
      </c>
      <c r="C12" s="18">
        <v>1.74</v>
      </c>
    </row>
    <row r="13" spans="1:11" x14ac:dyDescent="0.35">
      <c r="A13" s="17">
        <v>32</v>
      </c>
      <c r="B13" s="18">
        <v>56</v>
      </c>
      <c r="C13" s="18">
        <v>1.65</v>
      </c>
    </row>
    <row r="14" spans="1:11" x14ac:dyDescent="0.35">
      <c r="A14" s="17">
        <v>40</v>
      </c>
      <c r="B14" s="18">
        <v>58</v>
      </c>
      <c r="C14" s="18">
        <v>1.65</v>
      </c>
    </row>
    <row r="15" spans="1:11" x14ac:dyDescent="0.35">
      <c r="A15" s="17">
        <v>49</v>
      </c>
      <c r="B15" s="18">
        <v>77</v>
      </c>
      <c r="C15" s="18">
        <v>1.79</v>
      </c>
    </row>
    <row r="16" spans="1:11" x14ac:dyDescent="0.35">
      <c r="A16" s="17">
        <v>55</v>
      </c>
      <c r="B16" s="18">
        <v>87.5</v>
      </c>
      <c r="C16" s="18">
        <v>1.8250000000000002</v>
      </c>
    </row>
    <row r="17" spans="1:3" x14ac:dyDescent="0.35">
      <c r="A17" s="17">
        <v>60</v>
      </c>
      <c r="B17" s="18">
        <v>110</v>
      </c>
      <c r="C17" s="18">
        <v>1.84</v>
      </c>
    </row>
    <row r="18" spans="1:3" x14ac:dyDescent="0.35">
      <c r="A18" s="17">
        <v>63</v>
      </c>
      <c r="B18" s="18">
        <v>68</v>
      </c>
      <c r="C18" s="18">
        <v>1.68</v>
      </c>
    </row>
    <row r="19" spans="1:3" x14ac:dyDescent="0.35">
      <c r="A19" s="17">
        <v>72</v>
      </c>
      <c r="B19" s="18">
        <v>52</v>
      </c>
      <c r="C19" s="18">
        <v>1.6</v>
      </c>
    </row>
    <row r="20" spans="1:3" x14ac:dyDescent="0.35">
      <c r="A20" s="17" t="s">
        <v>32</v>
      </c>
      <c r="B20" s="18">
        <v>63.075949367088604</v>
      </c>
      <c r="C20" s="18">
        <v>1.6467088607594944</v>
      </c>
    </row>
  </sheetData>
  <pageMargins left="0.511811024" right="0.511811024" top="0.78740157499999996" bottom="0.78740157499999996" header="0.31496062000000002" footer="0.31496062000000002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B24"/>
  <sheetViews>
    <sheetView showGridLines="0" workbookViewId="0">
      <selection activeCell="C9" sqref="C9"/>
    </sheetView>
  </sheetViews>
  <sheetFormatPr defaultRowHeight="14.5" x14ac:dyDescent="0.35"/>
  <cols>
    <col min="1" max="1" width="35" customWidth="1"/>
    <col min="2" max="2" width="34.81640625" customWidth="1"/>
  </cols>
  <sheetData>
    <row r="1" spans="1:2" x14ac:dyDescent="0.35">
      <c r="A1" s="21"/>
      <c r="B1" s="22"/>
    </row>
    <row r="2" spans="1:2" x14ac:dyDescent="0.35">
      <c r="A2" s="23"/>
      <c r="B2" s="24"/>
    </row>
    <row r="3" spans="1:2" x14ac:dyDescent="0.35">
      <c r="A3" s="23"/>
      <c r="B3" s="24"/>
    </row>
    <row r="4" spans="1:2" x14ac:dyDescent="0.35">
      <c r="A4" s="23"/>
      <c r="B4" s="24"/>
    </row>
    <row r="5" spans="1:2" x14ac:dyDescent="0.35">
      <c r="A5" s="25" t="s">
        <v>37</v>
      </c>
      <c r="B5" s="26">
        <f>AVERAGE(Base!D:D)</f>
        <v>63.075949367088604</v>
      </c>
    </row>
    <row r="6" spans="1:2" x14ac:dyDescent="0.35">
      <c r="A6" s="27" t="s">
        <v>36</v>
      </c>
      <c r="B6" s="28">
        <f>AVERAGE(Base!B:B)</f>
        <v>31.85</v>
      </c>
    </row>
    <row r="7" spans="1:2" x14ac:dyDescent="0.35">
      <c r="A7" s="25" t="s">
        <v>35</v>
      </c>
      <c r="B7" s="26">
        <f>AVERAGE(Base!E:E)</f>
        <v>1.6467088607594937</v>
      </c>
    </row>
    <row r="8" spans="1:2" x14ac:dyDescent="0.35">
      <c r="A8" s="23"/>
      <c r="B8" s="24"/>
    </row>
    <row r="9" spans="1:2" x14ac:dyDescent="0.35">
      <c r="A9" s="23"/>
      <c r="B9" s="24"/>
    </row>
    <row r="10" spans="1:2" x14ac:dyDescent="0.35">
      <c r="A10" s="23"/>
      <c r="B10" s="24"/>
    </row>
    <row r="11" spans="1:2" x14ac:dyDescent="0.35">
      <c r="A11" s="23"/>
      <c r="B11" s="24"/>
    </row>
    <row r="12" spans="1:2" x14ac:dyDescent="0.35">
      <c r="A12" s="23"/>
      <c r="B12" s="24"/>
    </row>
    <row r="13" spans="1:2" x14ac:dyDescent="0.35">
      <c r="A13" s="23"/>
      <c r="B13" s="24"/>
    </row>
    <row r="14" spans="1:2" x14ac:dyDescent="0.35">
      <c r="A14" s="23"/>
      <c r="B14" s="24"/>
    </row>
    <row r="15" spans="1:2" x14ac:dyDescent="0.35">
      <c r="A15" s="23"/>
      <c r="B15" s="24"/>
    </row>
    <row r="16" spans="1:2" x14ac:dyDescent="0.35">
      <c r="A16" s="23"/>
      <c r="B16" s="24"/>
    </row>
    <row r="17" spans="1:2" x14ac:dyDescent="0.35">
      <c r="A17" s="23"/>
      <c r="B17" s="24"/>
    </row>
    <row r="18" spans="1:2" x14ac:dyDescent="0.35">
      <c r="A18" s="23"/>
      <c r="B18" s="24"/>
    </row>
    <row r="19" spans="1:2" x14ac:dyDescent="0.35">
      <c r="A19" s="23"/>
      <c r="B19" s="24"/>
    </row>
    <row r="20" spans="1:2" x14ac:dyDescent="0.35">
      <c r="A20" s="23"/>
      <c r="B20" s="24"/>
    </row>
    <row r="21" spans="1:2" x14ac:dyDescent="0.35">
      <c r="A21" s="23"/>
      <c r="B21" s="24"/>
    </row>
    <row r="22" spans="1:2" x14ac:dyDescent="0.35">
      <c r="A22" s="23"/>
      <c r="B22" s="24"/>
    </row>
    <row r="23" spans="1:2" x14ac:dyDescent="0.35">
      <c r="A23" s="23"/>
      <c r="B23" s="24"/>
    </row>
    <row r="24" spans="1:2" ht="15" thickBot="1" x14ac:dyDescent="0.4">
      <c r="A24" s="29"/>
      <c r="B24" s="3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</vt:lpstr>
      <vt:lpstr>Tabela Dinâmica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Maria, Pedro Henrique do Rosario</cp:lastModifiedBy>
  <cp:lastPrinted>2022-12-21T16:34:07Z</cp:lastPrinted>
  <dcterms:created xsi:type="dcterms:W3CDTF">2016-04-03T19:41:02Z</dcterms:created>
  <dcterms:modified xsi:type="dcterms:W3CDTF">2022-12-21T16:34:46Z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9256c7-9946-44df-b379-51beb93fd2d9_Enabled">
    <vt:lpwstr>true</vt:lpwstr>
  </property>
  <property fmtid="{D5CDD505-2E9C-101B-9397-08002B2CF9AE}" pid="3" name="MSIP_Label_589256c7-9946-44df-b379-51beb93fd2d9_SetDate">
    <vt:lpwstr>2022-12-21T16:34:05Z</vt:lpwstr>
  </property>
  <property fmtid="{D5CDD505-2E9C-101B-9397-08002B2CF9AE}" pid="4" name="MSIP_Label_589256c7-9946-44df-b379-51beb93fd2d9_Method">
    <vt:lpwstr>Privileged</vt:lpwstr>
  </property>
  <property fmtid="{D5CDD505-2E9C-101B-9397-08002B2CF9AE}" pid="5" name="MSIP_Label_589256c7-9946-44df-b379-51beb93fd2d9_Name">
    <vt:lpwstr>589256c7-9946-44df-b379-51beb93fd2d9</vt:lpwstr>
  </property>
  <property fmtid="{D5CDD505-2E9C-101B-9397-08002B2CF9AE}" pid="6" name="MSIP_Label_589256c7-9946-44df-b379-51beb93fd2d9_SiteId">
    <vt:lpwstr>36da45f1-dd2c-4d1f-af13-5abe46b99921</vt:lpwstr>
  </property>
  <property fmtid="{D5CDD505-2E9C-101B-9397-08002B2CF9AE}" pid="7" name="MSIP_Label_589256c7-9946-44df-b379-51beb93fd2d9_ActionId">
    <vt:lpwstr>2305ffbb-089b-494a-874d-6103aa2ac890</vt:lpwstr>
  </property>
  <property fmtid="{D5CDD505-2E9C-101B-9397-08002B2CF9AE}" pid="8" name="MSIP_Label_589256c7-9946-44df-b379-51beb93fd2d9_ContentBits">
    <vt:lpwstr>0</vt:lpwstr>
  </property>
</Properties>
</file>